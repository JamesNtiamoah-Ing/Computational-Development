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iam\Computational-Development\GREEN HYDROGEN\"/>
    </mc:Choice>
  </mc:AlternateContent>
  <xr:revisionPtr revIDLastSave="0" documentId="13_ncr:1_{9162DCDF-E59B-4D36-9DCA-EECE32D8AA33}" xr6:coauthVersionLast="47" xr6:coauthVersionMax="47" xr10:uidLastSave="{00000000-0000-0000-0000-000000000000}"/>
  <bookViews>
    <workbookView xWindow="1560" yWindow="1560" windowWidth="15375" windowHeight="8325" xr2:uid="{C377DEDD-D3AA-407A-BCDE-A5EF57467CD2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K5" i="2" s="1"/>
  <c r="L5" i="2" s="1"/>
</calcChain>
</file>

<file path=xl/sharedStrings.xml><?xml version="1.0" encoding="utf-8"?>
<sst xmlns="http://schemas.openxmlformats.org/spreadsheetml/2006/main" count="226" uniqueCount="64">
  <si>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</si>
  <si>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</si>
  <si>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</si>
  <si>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</si>
  <si>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</si>
  <si>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</si>
  <si>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</si>
  <si>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</si>
  <si>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</si>
  <si>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</si>
  <si>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</si>
  <si>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</si>
  <si>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</si>
  <si>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</si>
  <si>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</si>
  <si>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</si>
  <si>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</si>
  <si>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</si>
  <si>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</si>
  <si>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</si>
  <si>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</si>
  <si>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</si>
  <si>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</si>
  <si>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</si>
  <si>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</si>
  <si>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</si>
  <si>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WATER</t>
  </si>
  <si>
    <t>HYDROGEN</t>
  </si>
  <si>
    <t>OXYGEN</t>
  </si>
  <si>
    <t>Mole Fractions</t>
  </si>
  <si>
    <t>Mass Flows</t>
  </si>
  <si>
    <t>Mass Fractions</t>
  </si>
  <si>
    <t>Volume Flow</t>
  </si>
  <si>
    <t>Liquid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</si>
  <si>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</si>
  <si>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</si>
  <si>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</si>
  <si>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</si>
  <si>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</si>
  <si>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</si>
  <si>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</si>
  <si>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</si>
  <si>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</si>
  <si>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</si>
  <si>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</si>
  <si>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</si>
  <si>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</si>
  <si>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</si>
  <si>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SEP</t>
  </si>
  <si>
    <t>MIXER</t>
  </si>
  <si>
    <t>CONVEN</t>
  </si>
  <si>
    <t>Recycled Water</t>
  </si>
  <si>
    <t>Vapor Phase</t>
  </si>
  <si>
    <t>Top Product</t>
  </si>
  <si>
    <t>MATERIALS</t>
  </si>
  <si>
    <t>POWER INPUT</t>
  </si>
  <si>
    <t>QCALC  Watt</t>
  </si>
  <si>
    <t>TBEGIN  K</t>
  </si>
  <si>
    <t>TEND  K</t>
  </si>
  <si>
    <t>Real Electricity load</t>
  </si>
  <si>
    <t>Specific Energy Consumption (SEC)</t>
  </si>
  <si>
    <t>Name</t>
  </si>
  <si>
    <t>Value</t>
  </si>
  <si>
    <t>Cost per kgH2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</si>
</sst>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164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5FC5E5-F0EB-4CFB-B1A4-15CD427D68BC}" name="Table8" displayName="Table8" ref="C4:E147" insertRowShift="1" totalsRowShown="0" headerRowDxfId="5" dataDxfId="4">
  <autoFilter ref="C4:E147" xr:uid="{1B5FC5E5-F0EB-4CFB-B1A4-15CD427D68BC}"/>
  <tableColumns count="3">
    <tableColumn id="1" xr3:uid="{9D0A2CFA-1F7B-46B0-BEAA-BAF51AA252C3}" name="Stream Name" dataDxfId="3"/>
    <tableColumn id="2" xr3:uid="{126AE083-1A2A-457C-8691-BCCC57A48664}" name="Units" dataDxfId="2"/>
    <tableColumn id="3" xr3:uid="{782CFB8D-7218-488C-BE72-2EC2EA3A03BD}" name="Recycled Water" dataDxfId="1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B47247-C0B1-4B81-BE01-D609C22DC480}" name="Table13" displayName="Table13" ref="H4:L8" insertRowShift="1" totalsRowShown="0">
  <autoFilter ref="H4:L8" xr:uid="{47B47247-C0B1-4B81-BE01-D609C22DC480}"/>
  <tableColumns count="5">
    <tableColumn id="1" xr3:uid="{682CF024-70CA-4936-8828-AF2F707BD2FB}" name="Name"/>
    <tableColumn id="2" xr3:uid="{BCA19CA3-FB17-4A32-A3E6-D700EE54491F}" name="Value"/>
    <tableColumn id="3" xr3:uid="{FCA42066-4094-4241-9BC0-455F19EC93A4}" name="Real Electricity load">
      <calculatedColumnFormula>I6/0.65</calculatedColumnFormula>
    </tableColumn>
    <tableColumn id="4" xr3:uid="{B793B7DB-9F10-4666-B0BF-7C7D568F7387}" name="Specific Energy Consumption (SEC)">
      <calculatedColumnFormula>J5/E140</calculatedColumnFormula>
    </tableColumn>
    <tableColumn id="7" xr3:uid="{DD0C1E74-4859-441A-8CDC-AD6D1816DCC4}" name="Cost per kgH2" dataDxfId="0">
      <calculatedColumnFormula>Table13[[#This Row],[Specific Energy Consumption (SEC)]]*-0.04*10^-3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7FF8-B58A-4F8E-A865-383CD0325126}">
  <dimension ref="C3:S147"/>
  <sheetViews>
    <sheetView tabSelected="1" topLeftCell="K1" zoomScale="81" workbookViewId="0">
      <selection activeCell="N11" sqref="N11"/>
    </sheetView>
  </sheetViews>
  <sheetFormatPr defaultRowHeight="15" x14ac:dyDescent="0.25"/>
  <cols>
    <col min="3" max="3" width="22.7109375" bestFit="1" customWidth="1"/>
    <col min="4" max="4" width="9.5703125" bestFit="1" customWidth="1"/>
    <col min="5" max="5" width="17.28515625" bestFit="1" customWidth="1"/>
    <col min="8" max="8" width="12" bestFit="1" customWidth="1"/>
    <col min="9" max="9" width="11.7109375" bestFit="1" customWidth="1"/>
    <col min="10" max="10" width="20.85546875" bestFit="1" customWidth="1"/>
    <col min="11" max="11" width="34.5703125" bestFit="1" customWidth="1"/>
    <col min="12" max="12" width="15.42578125" bestFit="1" customWidth="1"/>
    <col min="15" max="15" width="31.5703125" bestFit="1" customWidth="1"/>
    <col min="16" max="16" width="12" bestFit="1" customWidth="1"/>
    <col min="17" max="17" width="6.42578125" bestFit="1" customWidth="1"/>
    <col min="19" max="19" width="30.28515625" bestFit="1" customWidth="1"/>
    <col min="20" max="20" width="13.5703125" bestFit="1" customWidth="1"/>
    <col min="21" max="21" width="11.5703125" bestFit="1" customWidth="1"/>
  </cols>
  <sheetData>
    <row r="3" spans="3:19" x14ac:dyDescent="0.25">
      <c r="C3" s="7" t="s">
        <v>54</v>
      </c>
      <c r="D3" s="7"/>
      <c r="E3" s="7"/>
      <c r="J3" s="8" t="s">
        <v>55</v>
      </c>
      <c r="K3" s="8"/>
      <c r="O3" s="2"/>
    </row>
    <row r="4" spans="3:19" x14ac:dyDescent="0.25">
      <c r="C4" s="1" t="s">
        <v>0</v>
      </c>
      <c r="D4" s="4" t="s">
        <v>34</v>
      </c>
      <c r="E4" s="3" t="s">
        <v>51</v>
      </c>
      <c r="H4" t="s">
        <v>61</v>
      </c>
      <c r="I4" t="s">
        <v>62</v>
      </c>
      <c r="J4" t="s">
        <v>59</v>
      </c>
      <c r="K4" t="s">
        <v>60</v>
      </c>
      <c r="L4" t="s">
        <v>63</v>
      </c>
    </row>
    <row r="5" spans="3:19" x14ac:dyDescent="0.25">
      <c r="C5" s="1"/>
      <c r="D5" s="1"/>
      <c r="E5" s="1"/>
      <c r="J5">
        <f>I6/0.65</f>
        <v>-667815.74307692307</v>
      </c>
      <c r="K5">
        <f>J5/E140</f>
        <v>-60383.505573377792</v>
      </c>
      <c r="L5" s="6">
        <f>Table13[[#This Row],[Specific Energy Consumption (SEC)]]*-0.04*10^-3</f>
        <v>2.4153402229351117</v>
      </c>
    </row>
    <row r="6" spans="3:19" x14ac:dyDescent="0.25">
      <c r="C6" s="1" t="s">
        <v>1</v>
      </c>
      <c r="D6" s="1"/>
      <c r="E6" s="1" t="s">
        <v>48</v>
      </c>
      <c r="H6" t="s">
        <v>56</v>
      </c>
      <c r="I6">
        <v>-434080.23300000001</v>
      </c>
    </row>
    <row r="7" spans="3:19" x14ac:dyDescent="0.25">
      <c r="C7" s="1" t="s">
        <v>2</v>
      </c>
      <c r="D7" s="1"/>
      <c r="E7" s="1" t="s">
        <v>49</v>
      </c>
      <c r="H7" t="s">
        <v>57</v>
      </c>
      <c r="I7">
        <v>343.14997499999998</v>
      </c>
    </row>
    <row r="8" spans="3:19" x14ac:dyDescent="0.25">
      <c r="C8" s="1" t="s">
        <v>3</v>
      </c>
      <c r="D8" s="1"/>
      <c r="E8" s="1" t="s">
        <v>50</v>
      </c>
      <c r="H8" t="s">
        <v>58</v>
      </c>
      <c r="I8">
        <v>343.15</v>
      </c>
    </row>
    <row r="9" spans="3:19" x14ac:dyDescent="0.25">
      <c r="C9" s="1" t="s">
        <v>4</v>
      </c>
      <c r="D9" s="1"/>
      <c r="E9" s="1"/>
      <c r="H9" s="2"/>
      <c r="S9" s="2"/>
    </row>
    <row r="10" spans="3:19" x14ac:dyDescent="0.25">
      <c r="C10" s="1"/>
      <c r="D10" s="1"/>
      <c r="E10" s="1"/>
      <c r="H10" s="2"/>
    </row>
    <row r="11" spans="3:19" x14ac:dyDescent="0.25">
      <c r="C11" s="1" t="s">
        <v>5</v>
      </c>
      <c r="D11" s="1" t="s">
        <v>35</v>
      </c>
      <c r="E11" s="1"/>
      <c r="H11" s="2"/>
    </row>
    <row r="12" spans="3:19" ht="15.75" x14ac:dyDescent="0.25">
      <c r="C12" s="1" t="s">
        <v>6</v>
      </c>
      <c r="D12" s="1"/>
      <c r="E12" s="1"/>
      <c r="H12" s="5"/>
    </row>
    <row r="13" spans="3:19" x14ac:dyDescent="0.25">
      <c r="C13" s="1" t="s">
        <v>7</v>
      </c>
      <c r="D13" s="1"/>
      <c r="E13" s="1" t="s">
        <v>33</v>
      </c>
    </row>
    <row r="14" spans="3:19" x14ac:dyDescent="0.25">
      <c r="C14" s="1" t="s">
        <v>8</v>
      </c>
      <c r="D14" s="1" t="s">
        <v>36</v>
      </c>
      <c r="E14" s="1">
        <v>69.999999998112003</v>
      </c>
      <c r="S14" s="2"/>
    </row>
    <row r="15" spans="3:19" x14ac:dyDescent="0.25">
      <c r="C15" s="1" t="s">
        <v>9</v>
      </c>
      <c r="D15" s="1" t="s">
        <v>37</v>
      </c>
      <c r="E15" s="1">
        <v>40</v>
      </c>
      <c r="O15" s="2"/>
    </row>
    <row r="16" spans="3:19" x14ac:dyDescent="0.25">
      <c r="C16" s="1" t="s">
        <v>10</v>
      </c>
      <c r="D16" s="1"/>
      <c r="E16" s="1">
        <v>0</v>
      </c>
      <c r="P16" s="2"/>
      <c r="Q16" s="2"/>
    </row>
    <row r="17" spans="3:19" x14ac:dyDescent="0.25">
      <c r="C17" s="1" t="s">
        <v>11</v>
      </c>
      <c r="D17" s="1"/>
      <c r="E17" s="1">
        <v>1</v>
      </c>
    </row>
    <row r="18" spans="3:19" x14ac:dyDescent="0.25">
      <c r="C18" s="1"/>
      <c r="D18" s="1"/>
      <c r="E18" s="1"/>
    </row>
    <row r="19" spans="3:19" x14ac:dyDescent="0.25">
      <c r="C19" s="1"/>
      <c r="D19" s="1"/>
      <c r="E19" s="1"/>
    </row>
    <row r="20" spans="3:19" x14ac:dyDescent="0.25">
      <c r="C20" s="1"/>
      <c r="D20" s="1"/>
      <c r="E20" s="1"/>
      <c r="S20" s="2"/>
    </row>
    <row r="21" spans="3:19" x14ac:dyDescent="0.25">
      <c r="C21" s="1"/>
      <c r="D21" s="1"/>
      <c r="E21" s="1"/>
    </row>
    <row r="22" spans="3:19" x14ac:dyDescent="0.25">
      <c r="C22" s="1" t="s">
        <v>12</v>
      </c>
      <c r="D22" s="1"/>
      <c r="E22" s="1">
        <v>0</v>
      </c>
      <c r="O22" s="2"/>
    </row>
    <row r="23" spans="3:19" x14ac:dyDescent="0.25">
      <c r="C23" s="1" t="s">
        <v>13</v>
      </c>
      <c r="D23" s="1"/>
      <c r="E23" s="1">
        <v>0</v>
      </c>
      <c r="P23" s="2"/>
      <c r="Q23" s="2"/>
    </row>
    <row r="24" spans="3:19" x14ac:dyDescent="0.25">
      <c r="C24" s="1" t="s">
        <v>14</v>
      </c>
      <c r="D24" s="1"/>
      <c r="E24" s="1">
        <v>1</v>
      </c>
    </row>
    <row r="25" spans="3:19" x14ac:dyDescent="0.25">
      <c r="C25" s="1" t="s">
        <v>15</v>
      </c>
      <c r="D25" s="1"/>
      <c r="E25" s="1">
        <v>0</v>
      </c>
      <c r="S25" s="2"/>
    </row>
    <row r="26" spans="3:19" x14ac:dyDescent="0.25">
      <c r="C26" s="1" t="s">
        <v>16</v>
      </c>
      <c r="D26" s="1" t="s">
        <v>38</v>
      </c>
      <c r="E26" s="1">
        <v>-67407.941718711183</v>
      </c>
    </row>
    <row r="27" spans="3:19" x14ac:dyDescent="0.25">
      <c r="C27" s="1" t="s">
        <v>17</v>
      </c>
      <c r="D27" s="1" t="s">
        <v>39</v>
      </c>
      <c r="E27" s="1">
        <v>-3742.2904447271185</v>
      </c>
    </row>
    <row r="28" spans="3:19" x14ac:dyDescent="0.25">
      <c r="C28" s="1" t="s">
        <v>18</v>
      </c>
      <c r="D28" s="1" t="s">
        <v>40</v>
      </c>
      <c r="E28" s="1">
        <v>-36.408960390239969</v>
      </c>
    </row>
    <row r="29" spans="3:19" x14ac:dyDescent="0.25">
      <c r="C29" s="1" t="s">
        <v>19</v>
      </c>
      <c r="D29" s="1" t="s">
        <v>41</v>
      </c>
      <c r="E29" s="1">
        <v>-2.0213182764045428</v>
      </c>
    </row>
    <row r="30" spans="3:19" x14ac:dyDescent="0.25">
      <c r="C30" s="1" t="s">
        <v>20</v>
      </c>
      <c r="D30" s="1" t="s">
        <v>42</v>
      </c>
      <c r="E30" s="1">
        <v>5.2671296935333276E-2</v>
      </c>
    </row>
    <row r="31" spans="3:19" x14ac:dyDescent="0.25">
      <c r="C31" s="1" t="s">
        <v>21</v>
      </c>
      <c r="D31" s="1" t="s">
        <v>43</v>
      </c>
      <c r="E31" s="1">
        <v>0.94874082236681401</v>
      </c>
    </row>
    <row r="32" spans="3:19" x14ac:dyDescent="0.25">
      <c r="C32" s="1" t="s">
        <v>22</v>
      </c>
      <c r="D32" s="1" t="s">
        <v>44</v>
      </c>
      <c r="E32" s="1">
        <v>-101572.22185961349</v>
      </c>
    </row>
    <row r="33" spans="3:5" x14ac:dyDescent="0.25">
      <c r="C33" s="1" t="s">
        <v>23</v>
      </c>
      <c r="D33" s="1"/>
      <c r="E33" s="1">
        <v>18.012482653153999</v>
      </c>
    </row>
    <row r="34" spans="3:5" x14ac:dyDescent="0.25">
      <c r="C34" s="1" t="s">
        <v>24</v>
      </c>
      <c r="D34" s="1" t="s">
        <v>45</v>
      </c>
      <c r="E34" s="1">
        <v>5.4245833557784886</v>
      </c>
    </row>
    <row r="35" spans="3:5" x14ac:dyDescent="0.25">
      <c r="C35" s="1" t="s">
        <v>25</v>
      </c>
      <c r="D35" s="1" t="s">
        <v>45</v>
      </c>
      <c r="E35" s="1">
        <v>5.4216075513297319</v>
      </c>
    </row>
    <row r="36" spans="3:5" x14ac:dyDescent="0.25">
      <c r="C36" s="1" t="s">
        <v>26</v>
      </c>
      <c r="D36" s="1" t="s">
        <v>45</v>
      </c>
      <c r="E36" s="1">
        <v>1.8939670374511016E-3</v>
      </c>
    </row>
    <row r="37" spans="3:5" x14ac:dyDescent="0.25">
      <c r="C37" s="1" t="s">
        <v>27</v>
      </c>
      <c r="D37" s="1" t="s">
        <v>45</v>
      </c>
      <c r="E37" s="1">
        <v>1.0818374113053537E-3</v>
      </c>
    </row>
    <row r="38" spans="3:5" x14ac:dyDescent="0.25">
      <c r="C38" s="1" t="s">
        <v>28</v>
      </c>
      <c r="D38" s="1"/>
      <c r="E38" s="1"/>
    </row>
    <row r="39" spans="3:5" x14ac:dyDescent="0.25">
      <c r="C39" s="1" t="s">
        <v>29</v>
      </c>
      <c r="D39" s="1"/>
      <c r="E39" s="1">
        <v>0.99945142248656105</v>
      </c>
    </row>
    <row r="40" spans="3:5" x14ac:dyDescent="0.25">
      <c r="C40" s="1" t="s">
        <v>26</v>
      </c>
      <c r="D40" s="1"/>
      <c r="E40" s="1">
        <v>3.4914516253742702E-4</v>
      </c>
    </row>
    <row r="41" spans="3:5" x14ac:dyDescent="0.25">
      <c r="C41" s="1" t="s">
        <v>27</v>
      </c>
      <c r="D41" s="1"/>
      <c r="E41" s="1">
        <v>1.9943235090173999E-4</v>
      </c>
    </row>
    <row r="42" spans="3:5" x14ac:dyDescent="0.25">
      <c r="C42" s="1" t="s">
        <v>28</v>
      </c>
      <c r="D42" s="1" t="s">
        <v>46</v>
      </c>
      <c r="E42" s="1">
        <v>97.710213596548229</v>
      </c>
    </row>
    <row r="43" spans="3:5" x14ac:dyDescent="0.25">
      <c r="C43" s="1" t="s">
        <v>30</v>
      </c>
      <c r="D43" s="1" t="s">
        <v>46</v>
      </c>
      <c r="E43" s="1">
        <v>97.671778087319893</v>
      </c>
    </row>
    <row r="44" spans="3:5" x14ac:dyDescent="0.25">
      <c r="C44" s="1" t="s">
        <v>26</v>
      </c>
      <c r="D44" s="1" t="s">
        <v>46</v>
      </c>
      <c r="E44" s="1">
        <v>3.8180102714569474E-3</v>
      </c>
    </row>
    <row r="45" spans="3:5" x14ac:dyDescent="0.25">
      <c r="C45" s="1" t="s">
        <v>27</v>
      </c>
      <c r="D45" s="1" t="s">
        <v>46</v>
      </c>
      <c r="E45" s="1">
        <v>3.4617498956877893E-2</v>
      </c>
    </row>
    <row r="46" spans="3:5" x14ac:dyDescent="0.25">
      <c r="C46" s="1" t="s">
        <v>28</v>
      </c>
      <c r="D46" s="1"/>
      <c r="E46" s="1"/>
    </row>
    <row r="47" spans="3:5" x14ac:dyDescent="0.25">
      <c r="C47" s="1" t="s">
        <v>31</v>
      </c>
      <c r="D47" s="1"/>
      <c r="E47" s="1">
        <v>0.99960663775245595</v>
      </c>
    </row>
    <row r="48" spans="3:5" x14ac:dyDescent="0.25">
      <c r="C48" s="1" t="s">
        <v>26</v>
      </c>
      <c r="D48" s="1"/>
      <c r="E48" s="1">
        <v>3.90748329260824E-5</v>
      </c>
    </row>
    <row r="49" spans="3:5" x14ac:dyDescent="0.25">
      <c r="C49" s="1" t="s">
        <v>27</v>
      </c>
      <c r="D49" s="1"/>
      <c r="E49" s="1">
        <v>3.5428741461783898E-4</v>
      </c>
    </row>
    <row r="50" spans="3:5" x14ac:dyDescent="0.25">
      <c r="C50" s="1" t="s">
        <v>28</v>
      </c>
      <c r="D50" s="1" t="s">
        <v>47</v>
      </c>
      <c r="E50" s="1">
        <v>1.7164893947325386</v>
      </c>
    </row>
    <row r="51" spans="3:5" x14ac:dyDescent="0.25">
      <c r="C51" s="1" t="s">
        <v>32</v>
      </c>
      <c r="D51" s="1"/>
      <c r="E51" s="1"/>
    </row>
    <row r="52" spans="3:5" x14ac:dyDescent="0.25">
      <c r="C52" s="1" t="s">
        <v>33</v>
      </c>
      <c r="D52" s="1" t="s">
        <v>38</v>
      </c>
      <c r="E52" s="1">
        <v>-67407.940808663363</v>
      </c>
    </row>
    <row r="53" spans="3:5" x14ac:dyDescent="0.25">
      <c r="C53" s="1" t="s">
        <v>17</v>
      </c>
      <c r="D53" s="1" t="s">
        <v>39</v>
      </c>
      <c r="E53" s="1">
        <v>-3742.2904312685582</v>
      </c>
    </row>
    <row r="54" spans="3:5" x14ac:dyDescent="0.25">
      <c r="C54" s="1" t="s">
        <v>18</v>
      </c>
      <c r="D54" s="1" t="s">
        <v>40</v>
      </c>
      <c r="E54" s="1">
        <v>-36.408960029636184</v>
      </c>
    </row>
    <row r="55" spans="3:5" x14ac:dyDescent="0.25">
      <c r="C55" s="1" t="s">
        <v>19</v>
      </c>
      <c r="D55" s="1" t="s">
        <v>41</v>
      </c>
      <c r="E55" s="1">
        <v>-2.0213182764045428</v>
      </c>
    </row>
    <row r="56" spans="3:5" x14ac:dyDescent="0.25">
      <c r="C56" s="1" t="s">
        <v>20</v>
      </c>
      <c r="D56" s="1" t="s">
        <v>42</v>
      </c>
      <c r="E56" s="1">
        <v>5.2671297457003462E-2</v>
      </c>
    </row>
    <row r="57" spans="3:5" x14ac:dyDescent="0.25">
      <c r="C57" s="1" t="s">
        <v>21</v>
      </c>
      <c r="D57" s="1" t="s">
        <v>43</v>
      </c>
      <c r="E57" s="1">
        <v>0.94874082236681401</v>
      </c>
    </row>
    <row r="58" spans="3:5" x14ac:dyDescent="0.25">
      <c r="C58" s="1" t="s">
        <v>22</v>
      </c>
      <c r="D58" s="1" t="s">
        <v>44</v>
      </c>
      <c r="E58" s="1">
        <v>-101572.22048832729</v>
      </c>
    </row>
    <row r="59" spans="3:5" x14ac:dyDescent="0.25">
      <c r="C59" s="1" t="s">
        <v>23</v>
      </c>
      <c r="D59" s="1"/>
      <c r="E59" s="1">
        <v>18.0124824747537</v>
      </c>
    </row>
    <row r="60" spans="3:5" x14ac:dyDescent="0.25">
      <c r="C60" s="1" t="s">
        <v>24</v>
      </c>
      <c r="D60" s="1" t="s">
        <v>45</v>
      </c>
      <c r="E60" s="1">
        <v>5.4245833557785046</v>
      </c>
    </row>
    <row r="61" spans="3:5" x14ac:dyDescent="0.25">
      <c r="C61" s="1" t="s">
        <v>25</v>
      </c>
      <c r="D61" s="1" t="s">
        <v>45</v>
      </c>
      <c r="E61" s="1">
        <v>5.4216075513297488</v>
      </c>
    </row>
    <row r="62" spans="3:5" x14ac:dyDescent="0.25">
      <c r="C62" s="1" t="s">
        <v>26</v>
      </c>
      <c r="D62" s="1" t="s">
        <v>45</v>
      </c>
      <c r="E62" s="1">
        <v>1.8939670374511072E-3</v>
      </c>
    </row>
    <row r="63" spans="3:5" x14ac:dyDescent="0.25">
      <c r="C63" s="1" t="s">
        <v>27</v>
      </c>
      <c r="D63" s="1" t="s">
        <v>45</v>
      </c>
      <c r="E63" s="1">
        <v>1.081837411305357E-3</v>
      </c>
    </row>
    <row r="64" spans="3:5" x14ac:dyDescent="0.25">
      <c r="C64" s="1" t="s">
        <v>28</v>
      </c>
      <c r="D64" s="1"/>
      <c r="E64" s="1"/>
    </row>
    <row r="65" spans="3:5" x14ac:dyDescent="0.25">
      <c r="C65" s="1" t="s">
        <v>29</v>
      </c>
      <c r="D65" s="1"/>
      <c r="E65" s="1">
        <v>0.99945142248656105</v>
      </c>
    </row>
    <row r="66" spans="3:5" x14ac:dyDescent="0.25">
      <c r="C66" s="1" t="s">
        <v>26</v>
      </c>
      <c r="D66" s="1"/>
      <c r="E66" s="1">
        <v>3.4914516253742702E-4</v>
      </c>
    </row>
    <row r="67" spans="3:5" x14ac:dyDescent="0.25">
      <c r="C67" s="1" t="s">
        <v>27</v>
      </c>
      <c r="D67" s="1"/>
      <c r="E67" s="1">
        <v>1.9943235090173999E-4</v>
      </c>
    </row>
    <row r="68" spans="3:5" x14ac:dyDescent="0.25">
      <c r="C68" s="1" t="s">
        <v>28</v>
      </c>
      <c r="D68" s="1" t="s">
        <v>46</v>
      </c>
      <c r="E68" s="1">
        <v>97.710213596548172</v>
      </c>
    </row>
    <row r="69" spans="3:5" x14ac:dyDescent="0.25">
      <c r="C69" s="1" t="s">
        <v>30</v>
      </c>
      <c r="D69" s="1" t="s">
        <v>46</v>
      </c>
      <c r="E69" s="1">
        <v>97.671778087319836</v>
      </c>
    </row>
    <row r="70" spans="3:5" x14ac:dyDescent="0.25">
      <c r="C70" s="1" t="s">
        <v>26</v>
      </c>
      <c r="D70" s="1" t="s">
        <v>46</v>
      </c>
      <c r="E70" s="1">
        <v>3.8180102714569382E-3</v>
      </c>
    </row>
    <row r="71" spans="3:5" x14ac:dyDescent="0.25">
      <c r="C71" s="1" t="s">
        <v>27</v>
      </c>
      <c r="D71" s="1" t="s">
        <v>46</v>
      </c>
      <c r="E71" s="1">
        <v>3.4617498956877941E-2</v>
      </c>
    </row>
    <row r="72" spans="3:5" x14ac:dyDescent="0.25">
      <c r="C72" s="1" t="s">
        <v>28</v>
      </c>
      <c r="D72" s="1"/>
      <c r="E72" s="1"/>
    </row>
    <row r="73" spans="3:5" x14ac:dyDescent="0.25">
      <c r="C73" s="1" t="s">
        <v>31</v>
      </c>
      <c r="D73" s="1"/>
      <c r="E73" s="1">
        <v>0.99960664765281904</v>
      </c>
    </row>
    <row r="74" spans="3:5" x14ac:dyDescent="0.25">
      <c r="C74" s="1" t="s">
        <v>26</v>
      </c>
      <c r="D74" s="1"/>
      <c r="E74" s="1">
        <v>3.9074833313089599E-5</v>
      </c>
    </row>
    <row r="75" spans="3:5" x14ac:dyDescent="0.25">
      <c r="C75" s="1" t="s">
        <v>27</v>
      </c>
      <c r="D75" s="1"/>
      <c r="E75" s="1">
        <v>3.5428741812679399E-4</v>
      </c>
    </row>
    <row r="76" spans="3:5" x14ac:dyDescent="0.25">
      <c r="C76" s="1" t="s">
        <v>28</v>
      </c>
      <c r="D76" s="1" t="s">
        <v>47</v>
      </c>
      <c r="E76" s="1">
        <v>1.7164893777319885</v>
      </c>
    </row>
    <row r="77" spans="3:5" x14ac:dyDescent="0.25">
      <c r="C77" s="1" t="s">
        <v>32</v>
      </c>
      <c r="D77" s="1"/>
      <c r="E77" s="1"/>
    </row>
    <row r="78" spans="3:5" x14ac:dyDescent="0.25">
      <c r="C78" s="1"/>
      <c r="D78" s="1"/>
      <c r="E78" s="1"/>
    </row>
    <row r="79" spans="3:5" x14ac:dyDescent="0.25">
      <c r="C79" s="1"/>
      <c r="D79" s="4" t="s">
        <v>34</v>
      </c>
      <c r="E79" s="3" t="s">
        <v>53</v>
      </c>
    </row>
    <row r="80" spans="3:5" x14ac:dyDescent="0.25">
      <c r="C80" s="1"/>
      <c r="D80" s="1"/>
      <c r="E80" s="1"/>
    </row>
    <row r="81" spans="3:5" x14ac:dyDescent="0.25">
      <c r="C81" s="1" t="s">
        <v>1</v>
      </c>
      <c r="D81" s="1"/>
      <c r="E81" s="1" t="s">
        <v>48</v>
      </c>
    </row>
    <row r="82" spans="3:5" x14ac:dyDescent="0.25">
      <c r="C82" s="1" t="s">
        <v>2</v>
      </c>
      <c r="D82" s="1"/>
      <c r="E82" s="1"/>
    </row>
    <row r="83" spans="3:5" x14ac:dyDescent="0.25">
      <c r="C83" s="1" t="s">
        <v>3</v>
      </c>
      <c r="D83" s="1"/>
      <c r="E83" s="1" t="s">
        <v>50</v>
      </c>
    </row>
    <row r="84" spans="3:5" x14ac:dyDescent="0.25">
      <c r="C84" s="1" t="s">
        <v>4</v>
      </c>
      <c r="D84" s="1"/>
      <c r="E84" s="1"/>
    </row>
    <row r="85" spans="3:5" x14ac:dyDescent="0.25">
      <c r="C85" s="1" t="s">
        <v>5</v>
      </c>
      <c r="D85" s="1" t="s">
        <v>35</v>
      </c>
      <c r="E85" s="1"/>
    </row>
    <row r="86" spans="3:5" x14ac:dyDescent="0.25">
      <c r="C86" s="1" t="s">
        <v>6</v>
      </c>
      <c r="D86" s="1"/>
      <c r="E86" s="1"/>
    </row>
    <row r="87" spans="3:5" x14ac:dyDescent="0.25">
      <c r="C87" s="1" t="s">
        <v>7</v>
      </c>
      <c r="D87" s="1"/>
      <c r="E87" s="1" t="s">
        <v>52</v>
      </c>
    </row>
    <row r="88" spans="3:5" x14ac:dyDescent="0.25">
      <c r="C88" s="1" t="s">
        <v>8</v>
      </c>
      <c r="D88" s="1" t="s">
        <v>36</v>
      </c>
      <c r="E88" s="1">
        <v>69.999999998112003</v>
      </c>
    </row>
    <row r="89" spans="3:5" x14ac:dyDescent="0.25">
      <c r="C89" s="1" t="s">
        <v>9</v>
      </c>
      <c r="D89" s="1" t="s">
        <v>37</v>
      </c>
      <c r="E89" s="1">
        <v>40</v>
      </c>
    </row>
    <row r="90" spans="3:5" x14ac:dyDescent="0.25">
      <c r="C90" s="1" t="s">
        <v>10</v>
      </c>
      <c r="D90" s="1"/>
      <c r="E90" s="1">
        <v>1</v>
      </c>
    </row>
    <row r="91" spans="3:5" x14ac:dyDescent="0.25">
      <c r="C91" s="1" t="s">
        <v>11</v>
      </c>
      <c r="D91" s="1"/>
      <c r="E91" s="1">
        <v>0</v>
      </c>
    </row>
    <row r="92" spans="3:5" x14ac:dyDescent="0.25">
      <c r="C92" s="1" t="s">
        <v>12</v>
      </c>
      <c r="D92" s="1"/>
      <c r="E92" s="1">
        <v>0</v>
      </c>
    </row>
    <row r="93" spans="3:5" x14ac:dyDescent="0.25">
      <c r="C93" s="1" t="s">
        <v>13</v>
      </c>
      <c r="D93" s="1"/>
      <c r="E93" s="1">
        <v>1</v>
      </c>
    </row>
    <row r="94" spans="3:5" x14ac:dyDescent="0.25">
      <c r="C94" s="1" t="s">
        <v>14</v>
      </c>
      <c r="D94" s="1"/>
      <c r="E94" s="1">
        <v>0</v>
      </c>
    </row>
    <row r="95" spans="3:5" x14ac:dyDescent="0.25">
      <c r="C95" s="1" t="s">
        <v>15</v>
      </c>
      <c r="D95" s="1"/>
      <c r="E95" s="1">
        <v>0</v>
      </c>
    </row>
    <row r="96" spans="3:5" x14ac:dyDescent="0.25">
      <c r="C96" s="1" t="s">
        <v>16</v>
      </c>
      <c r="D96" s="1" t="s">
        <v>38</v>
      </c>
      <c r="E96" s="1">
        <v>-136.90485378427601</v>
      </c>
    </row>
    <row r="97" spans="3:5" x14ac:dyDescent="0.25">
      <c r="C97" s="1" t="s">
        <v>17</v>
      </c>
      <c r="D97" s="1" t="s">
        <v>39</v>
      </c>
      <c r="E97" s="1">
        <v>-11.3548285922614</v>
      </c>
    </row>
    <row r="98" spans="3:5" x14ac:dyDescent="0.25">
      <c r="C98" s="1" t="s">
        <v>18</v>
      </c>
      <c r="D98" s="1" t="s">
        <v>40</v>
      </c>
      <c r="E98" s="1">
        <v>-5.0594767935994804</v>
      </c>
    </row>
    <row r="99" spans="3:5" x14ac:dyDescent="0.25">
      <c r="C99" s="1" t="s">
        <v>19</v>
      </c>
      <c r="D99" s="1" t="s">
        <v>41</v>
      </c>
      <c r="E99" s="1">
        <v>-0.419630788608641</v>
      </c>
    </row>
    <row r="100" spans="3:5" x14ac:dyDescent="0.25">
      <c r="C100" s="1" t="s">
        <v>20</v>
      </c>
      <c r="D100" s="1" t="s">
        <v>42</v>
      </c>
      <c r="E100" s="1">
        <v>1.40200231331888E-3</v>
      </c>
    </row>
    <row r="101" spans="3:5" x14ac:dyDescent="0.25">
      <c r="C101" s="1" t="s">
        <v>21</v>
      </c>
      <c r="D101" s="1" t="s">
        <v>43</v>
      </c>
      <c r="E101" s="1">
        <v>1.6903903053274699E-2</v>
      </c>
    </row>
    <row r="102" spans="3:5" x14ac:dyDescent="0.25">
      <c r="C102" s="1" t="s">
        <v>22</v>
      </c>
      <c r="D102" s="1" t="s">
        <v>44</v>
      </c>
      <c r="E102" s="1">
        <v>-315.41190864415398</v>
      </c>
    </row>
    <row r="103" spans="3:5" x14ac:dyDescent="0.25">
      <c r="C103" s="1" t="s">
        <v>23</v>
      </c>
      <c r="D103" s="1"/>
      <c r="E103" s="1">
        <v>12.056972297898</v>
      </c>
    </row>
    <row r="104" spans="3:5" x14ac:dyDescent="0.25">
      <c r="C104" s="1" t="s">
        <v>24</v>
      </c>
      <c r="D104" s="1" t="s">
        <v>45</v>
      </c>
      <c r="E104" s="1">
        <v>8.2939562749773597</v>
      </c>
    </row>
    <row r="105" spans="3:5" x14ac:dyDescent="0.25">
      <c r="C105" s="1" t="s">
        <v>25</v>
      </c>
      <c r="D105" s="1" t="s">
        <v>45</v>
      </c>
      <c r="E105" s="1">
        <v>6.4617977477818403E-2</v>
      </c>
    </row>
    <row r="106" spans="3:5" x14ac:dyDescent="0.25">
      <c r="C106" s="1" t="s">
        <v>26</v>
      </c>
      <c r="D106" s="1" t="s">
        <v>45</v>
      </c>
      <c r="E106" s="1">
        <v>5.48622549851535</v>
      </c>
    </row>
    <row r="107" spans="3:5" x14ac:dyDescent="0.25">
      <c r="C107" s="1" t="s">
        <v>27</v>
      </c>
      <c r="D107" s="1" t="s">
        <v>45</v>
      </c>
      <c r="E107" s="1">
        <v>2.7431127989841899</v>
      </c>
    </row>
    <row r="108" spans="3:5" x14ac:dyDescent="0.25">
      <c r="C108" s="1" t="s">
        <v>28</v>
      </c>
      <c r="D108" s="1"/>
      <c r="E108" s="1"/>
    </row>
    <row r="109" spans="3:5" x14ac:dyDescent="0.25">
      <c r="C109" s="1" t="s">
        <v>29</v>
      </c>
      <c r="D109" s="1"/>
      <c r="E109" s="1">
        <v>7.7909715623615001E-3</v>
      </c>
    </row>
    <row r="110" spans="3:5" x14ac:dyDescent="0.25">
      <c r="C110" s="1" t="s">
        <v>26</v>
      </c>
      <c r="D110" s="1"/>
      <c r="E110" s="1">
        <v>0.66147268162808404</v>
      </c>
    </row>
    <row r="111" spans="3:5" x14ac:dyDescent="0.25">
      <c r="C111" s="1" t="s">
        <v>27</v>
      </c>
      <c r="D111" s="1"/>
      <c r="E111" s="1">
        <v>0.33073634680955399</v>
      </c>
    </row>
    <row r="112" spans="3:5" x14ac:dyDescent="0.25">
      <c r="C112" s="1" t="s">
        <v>28</v>
      </c>
      <c r="D112" s="1" t="s">
        <v>46</v>
      </c>
      <c r="E112" s="1">
        <v>100.000001047379</v>
      </c>
    </row>
    <row r="113" spans="3:5" x14ac:dyDescent="0.25">
      <c r="C113" s="1" t="s">
        <v>30</v>
      </c>
      <c r="D113" s="1" t="s">
        <v>46</v>
      </c>
      <c r="E113" s="1">
        <v>1.16411095729659</v>
      </c>
    </row>
    <row r="114" spans="3:5" x14ac:dyDescent="0.25">
      <c r="C114" s="1" t="s">
        <v>26</v>
      </c>
      <c r="D114" s="1" t="s">
        <v>46</v>
      </c>
      <c r="E114" s="1">
        <v>11.059572257947099</v>
      </c>
    </row>
    <row r="115" spans="3:5" x14ac:dyDescent="0.25">
      <c r="C115" s="1" t="s">
        <v>27</v>
      </c>
      <c r="D115" s="1" t="s">
        <v>46</v>
      </c>
      <c r="E115" s="1">
        <v>87.776317832135305</v>
      </c>
    </row>
    <row r="116" spans="3:5" x14ac:dyDescent="0.25">
      <c r="C116" s="1" t="s">
        <v>28</v>
      </c>
      <c r="D116" s="1"/>
      <c r="E116" s="1"/>
    </row>
    <row r="117" spans="3:5" x14ac:dyDescent="0.25">
      <c r="C117" s="1" t="s">
        <v>31</v>
      </c>
      <c r="D117" s="1"/>
      <c r="E117" s="1">
        <v>1.16411094510394E-2</v>
      </c>
    </row>
    <row r="118" spans="3:5" x14ac:dyDescent="0.25">
      <c r="C118" s="1" t="s">
        <v>26</v>
      </c>
      <c r="D118" s="1"/>
      <c r="E118" s="1">
        <v>0.110595721421115</v>
      </c>
    </row>
    <row r="119" spans="3:5" x14ac:dyDescent="0.25">
      <c r="C119" s="1" t="s">
        <v>27</v>
      </c>
      <c r="D119" s="1"/>
      <c r="E119" s="1">
        <v>0.87776316912784602</v>
      </c>
    </row>
    <row r="120" spans="3:5" x14ac:dyDescent="0.25">
      <c r="C120" s="1" t="s">
        <v>28</v>
      </c>
      <c r="D120" s="1" t="s">
        <v>47</v>
      </c>
      <c r="E120" s="1">
        <v>98.5965595561144</v>
      </c>
    </row>
    <row r="121" spans="3:5" x14ac:dyDescent="0.25">
      <c r="C121" s="1" t="s">
        <v>32</v>
      </c>
      <c r="D121" s="1"/>
      <c r="E121" s="1"/>
    </row>
    <row r="122" spans="3:5" x14ac:dyDescent="0.25">
      <c r="C122" s="1" t="s">
        <v>52</v>
      </c>
      <c r="D122" s="1" t="s">
        <v>38</v>
      </c>
      <c r="E122" s="1">
        <v>-136.90485378427601</v>
      </c>
    </row>
    <row r="123" spans="3:5" x14ac:dyDescent="0.25">
      <c r="C123" s="1" t="s">
        <v>17</v>
      </c>
      <c r="D123" s="1" t="s">
        <v>39</v>
      </c>
      <c r="E123" s="1">
        <v>-11.3548285922614</v>
      </c>
    </row>
    <row r="124" spans="3:5" x14ac:dyDescent="0.25">
      <c r="C124" s="1" t="s">
        <v>18</v>
      </c>
      <c r="D124" s="1" t="s">
        <v>40</v>
      </c>
      <c r="E124" s="1">
        <v>-5.0594767935994804</v>
      </c>
    </row>
    <row r="125" spans="3:5" x14ac:dyDescent="0.25">
      <c r="C125" s="1" t="s">
        <v>19</v>
      </c>
      <c r="D125" s="1" t="s">
        <v>41</v>
      </c>
      <c r="E125" s="1">
        <v>-0.419630788608641</v>
      </c>
    </row>
    <row r="126" spans="3:5" x14ac:dyDescent="0.25">
      <c r="C126" s="1" t="s">
        <v>20</v>
      </c>
      <c r="D126" s="1" t="s">
        <v>42</v>
      </c>
      <c r="E126" s="1">
        <v>1.40200231331888E-3</v>
      </c>
    </row>
    <row r="127" spans="3:5" x14ac:dyDescent="0.25">
      <c r="C127" s="1" t="s">
        <v>21</v>
      </c>
      <c r="D127" s="1" t="s">
        <v>43</v>
      </c>
      <c r="E127" s="1">
        <v>1.6903903053274699E-2</v>
      </c>
    </row>
    <row r="128" spans="3:5" x14ac:dyDescent="0.25">
      <c r="C128" s="1" t="s">
        <v>22</v>
      </c>
      <c r="D128" s="1" t="s">
        <v>44</v>
      </c>
      <c r="E128" s="1">
        <v>-315.41190864415398</v>
      </c>
    </row>
    <row r="129" spans="3:5" x14ac:dyDescent="0.25">
      <c r="C129" s="1" t="s">
        <v>23</v>
      </c>
      <c r="D129" s="1"/>
      <c r="E129" s="1">
        <v>12.056972297898</v>
      </c>
    </row>
    <row r="130" spans="3:5" x14ac:dyDescent="0.25">
      <c r="C130" s="1" t="s">
        <v>24</v>
      </c>
      <c r="D130" s="1" t="s">
        <v>45</v>
      </c>
      <c r="E130" s="1">
        <v>8.2939562749773295</v>
      </c>
    </row>
    <row r="131" spans="3:5" x14ac:dyDescent="0.25">
      <c r="C131" s="1" t="s">
        <v>25</v>
      </c>
      <c r="D131" s="1" t="s">
        <v>45</v>
      </c>
      <c r="E131" s="1">
        <v>6.4617977477818098E-2</v>
      </c>
    </row>
    <row r="132" spans="3:5" x14ac:dyDescent="0.25">
      <c r="C132" s="1" t="s">
        <v>26</v>
      </c>
      <c r="D132" s="1" t="s">
        <v>45</v>
      </c>
      <c r="E132" s="1">
        <v>5.4862254985153296</v>
      </c>
    </row>
    <row r="133" spans="3:5" x14ac:dyDescent="0.25">
      <c r="C133" s="1" t="s">
        <v>27</v>
      </c>
      <c r="D133" s="1" t="s">
        <v>45</v>
      </c>
      <c r="E133" s="1">
        <v>2.7431127989841801</v>
      </c>
    </row>
    <row r="134" spans="3:5" x14ac:dyDescent="0.25">
      <c r="C134" s="1" t="s">
        <v>28</v>
      </c>
      <c r="D134" s="1"/>
      <c r="E134" s="1"/>
    </row>
    <row r="135" spans="3:5" x14ac:dyDescent="0.25">
      <c r="C135" s="1" t="s">
        <v>29</v>
      </c>
      <c r="D135" s="1"/>
      <c r="E135" s="1">
        <v>7.7909715623615001E-3</v>
      </c>
    </row>
    <row r="136" spans="3:5" x14ac:dyDescent="0.25">
      <c r="C136" s="1" t="s">
        <v>26</v>
      </c>
      <c r="D136" s="1"/>
      <c r="E136" s="1">
        <v>0.66147268162808404</v>
      </c>
    </row>
    <row r="137" spans="3:5" x14ac:dyDescent="0.25">
      <c r="C137" s="1" t="s">
        <v>27</v>
      </c>
      <c r="D137" s="1"/>
      <c r="E137" s="1">
        <v>0.33073634680955399</v>
      </c>
    </row>
    <row r="138" spans="3:5" x14ac:dyDescent="0.25">
      <c r="C138" s="1" t="s">
        <v>28</v>
      </c>
      <c r="D138" s="1" t="s">
        <v>46</v>
      </c>
      <c r="E138" s="1">
        <v>100.000001047379</v>
      </c>
    </row>
    <row r="139" spans="3:5" x14ac:dyDescent="0.25">
      <c r="C139" s="1" t="s">
        <v>30</v>
      </c>
      <c r="D139" s="1" t="s">
        <v>46</v>
      </c>
      <c r="E139" s="1">
        <v>1.16411095729659</v>
      </c>
    </row>
    <row r="140" spans="3:5" x14ac:dyDescent="0.25">
      <c r="C140" s="1" t="s">
        <v>26</v>
      </c>
      <c r="D140" s="1" t="s">
        <v>46</v>
      </c>
      <c r="E140" s="1">
        <v>11.059572257947099</v>
      </c>
    </row>
    <row r="141" spans="3:5" x14ac:dyDescent="0.25">
      <c r="C141" s="1" t="s">
        <v>27</v>
      </c>
      <c r="D141" s="1" t="s">
        <v>46</v>
      </c>
      <c r="E141" s="1">
        <v>87.776317832135305</v>
      </c>
    </row>
    <row r="142" spans="3:5" x14ac:dyDescent="0.25">
      <c r="C142" s="1" t="s">
        <v>28</v>
      </c>
      <c r="D142" s="1"/>
      <c r="E142" s="1"/>
    </row>
    <row r="143" spans="3:5" x14ac:dyDescent="0.25">
      <c r="C143" s="1" t="s">
        <v>31</v>
      </c>
      <c r="D143" s="1"/>
      <c r="E143" s="1">
        <v>1.16411094510394E-2</v>
      </c>
    </row>
    <row r="144" spans="3:5" x14ac:dyDescent="0.25">
      <c r="C144" s="1" t="s">
        <v>26</v>
      </c>
      <c r="D144" s="1"/>
      <c r="E144" s="1">
        <v>0.110595721421115</v>
      </c>
    </row>
    <row r="145" spans="3:5" x14ac:dyDescent="0.25">
      <c r="C145" s="1" t="s">
        <v>27</v>
      </c>
      <c r="D145" s="1"/>
      <c r="E145" s="1">
        <v>0.87776316912784602</v>
      </c>
    </row>
    <row r="146" spans="3:5" x14ac:dyDescent="0.25">
      <c r="C146" s="1" t="s">
        <v>28</v>
      </c>
      <c r="D146" s="1" t="s">
        <v>47</v>
      </c>
      <c r="E146" s="1">
        <v>98.5965595561144</v>
      </c>
    </row>
    <row r="147" spans="3:5" x14ac:dyDescent="0.25">
      <c r="C147" s="1" t="s">
        <v>32</v>
      </c>
      <c r="D147" s="1"/>
      <c r="E147" s="1"/>
    </row>
  </sheetData>
  <mergeCells count="2">
    <mergeCell ref="C3:E3"/>
    <mergeCell ref="J3:K3"/>
  </mergeCells>
  <phoneticPr fontId="4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Ntiamoah James</dc:creator>
  <cp:lastModifiedBy>Ntiamoah James</cp:lastModifiedBy>
  <cp:lastPrinted>2026-09-18T09:33:36Z</cp:lastPrinted>
  <dcterms:created xsi:type="dcterms:W3CDTF">2026-09-18T09:10:23Z</dcterms:created>
  <dcterms:modified xsi:type="dcterms:W3CDTF">2026-09-24T19:38:24Z</dcterms:modified>
</cp:coreProperties>
</file>